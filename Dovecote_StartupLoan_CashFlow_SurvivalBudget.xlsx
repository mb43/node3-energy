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12-Month Cash Flow" sheetId="2" state="visible" r:id="rId2"/>
    <sheet xmlns:r="http://schemas.openxmlformats.org/officeDocument/2006/relationships" name="Personal Survival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£* #,##0_-;_-£* (#,##0)_-"/>
    <numFmt numFmtId="165" formatCode="0.0%"/>
    <numFmt numFmtId="166" formatCode="_-£* #,##0_-;_-£* (#,##0)_-;_-£* &quot;-&quot;_-;_-@_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4F72"/>
      <sz val="12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sz val="10"/>
    </font>
    <font>
      <name val="Arial"/>
      <b val="1"/>
      <color rgb="001E8449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7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2"/>
    </xf>
    <xf numFmtId="166" fontId="9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indent="2"/>
    </xf>
    <xf numFmtId="166" fontId="9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indent="1"/>
    </xf>
    <xf numFmtId="166" fontId="3" fillId="5" borderId="1" applyAlignment="1" pivotButton="0" quotePrefix="0" xfId="0">
      <alignment horizontal="right" vertical="center"/>
    </xf>
    <xf numFmtId="0" fontId="8" fillId="6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2"/>
    </xf>
    <xf numFmtId="166" fontId="9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indent="1"/>
    </xf>
    <xf numFmtId="166" fontId="3" fillId="6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166" fontId="10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right" vertical="center"/>
    </xf>
    <xf numFmtId="0" fontId="5" fillId="0" borderId="1" pivotButton="0" quotePrefix="0" xfId="0"/>
    <xf numFmtId="0" fontId="9" fillId="0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0" customWidth="1" min="3" max="3"/>
  </cols>
  <sheetData>
    <row r="1" ht="30" customHeight="1">
      <c r="A1" s="1" t="inlineStr">
        <is>
          <t>DOVECOTE SYSTEMS LTD — STARTUP LOAN APPLICATION</t>
        </is>
      </c>
    </row>
    <row r="2" ht="22" customHeight="1">
      <c r="A2" s="2" t="inlineStr">
        <is>
          <t>Key Assumptions — Matt Brander Application</t>
        </is>
      </c>
    </row>
    <row r="5" ht="18" customHeight="1">
      <c r="A5" s="3" t="inlineStr">
        <is>
          <t>Loan amount</t>
        </is>
      </c>
      <c r="B5" s="4" t="n">
        <v>25000</v>
      </c>
      <c r="C5" s="5" t="inlineStr">
        <is>
          <t>£</t>
        </is>
      </c>
    </row>
    <row r="6" ht="18" customHeight="1">
      <c r="A6" s="3" t="inlineStr">
        <is>
          <t>Interest rate (annual)</t>
        </is>
      </c>
      <c r="B6" s="6" t="n">
        <v>0.075</v>
      </c>
      <c r="C6" s="5" t="inlineStr">
        <is>
          <t>%</t>
        </is>
      </c>
    </row>
    <row r="7" ht="18" customHeight="1">
      <c r="A7" s="3" t="inlineStr">
        <is>
          <t>Loan term (months)</t>
        </is>
      </c>
      <c r="B7" s="7" t="n">
        <v>60</v>
      </c>
      <c r="C7" s="5" t="inlineStr">
        <is>
          <t>months</t>
        </is>
      </c>
    </row>
    <row r="8" ht="18" customHeight="1">
      <c r="A8" s="3" t="inlineStr">
        <is>
          <t>Monthly repayment</t>
        </is>
      </c>
      <c r="B8" s="6" t="n">
        <v>501</v>
      </c>
      <c r="C8" s="5" t="inlineStr">
        <is>
          <t>£ (approx — 7.5% over 5 yrs)</t>
        </is>
      </c>
    </row>
    <row r="9" ht="18" customHeight="1"/>
    <row r="10" ht="18" customHeight="1">
      <c r="A10" s="3" t="inlineStr">
        <is>
          <t>Node-3 Agile arbitrage (per month)</t>
        </is>
      </c>
      <c r="B10" s="4" t="n">
        <v>150</v>
      </c>
      <c r="C10" s="5" t="inlineStr">
        <is>
          <t>£ (~£1,800/yr, range £1,500–£2,000) — from Month 3</t>
        </is>
      </c>
    </row>
    <row r="11" ht="18" customHeight="1">
      <c r="A11" s="3" t="inlineStr">
        <is>
          <t>Node-3 Flexibility/BM revenue (per month)</t>
        </is>
      </c>
      <c r="B11" s="4" t="n">
        <v>262</v>
      </c>
      <c r="C11" s="5" t="inlineStr">
        <is>
          <t>£ (£3,147/yr) — from Month 6</t>
        </is>
      </c>
    </row>
    <row r="12" ht="18" customHeight="1"/>
    <row r="13" ht="18" customHeight="1">
      <c r="A13" s="3" t="inlineStr">
        <is>
          <t>HV electrical commissioning (Node-3)</t>
        </is>
      </c>
      <c r="B13" s="4" t="n">
        <v>2000</v>
      </c>
      <c r="C13" s="5" t="inlineStr">
        <is>
          <t>£ — Month 1</t>
        </is>
      </c>
    </row>
    <row r="14" ht="18" customHeight="1">
      <c r="A14" s="3" t="inlineStr">
        <is>
          <t>Public liability insurance</t>
        </is>
      </c>
      <c r="B14" s="4" t="n">
        <v>800</v>
      </c>
      <c r="C14" s="5" t="inlineStr">
        <is>
          <t>£/yr — Month 1</t>
        </is>
      </c>
    </row>
    <row r="15" ht="18" customHeight="1">
      <c r="A15" s="3" t="inlineStr">
        <is>
          <t>Private electrician training — full JIB Gold Card programme</t>
        </is>
      </c>
      <c r="B15" s="4" t="n">
        <v>9000</v>
      </c>
      <c r="C15" s="5" t="inlineStr">
        <is>
          <t>£ — Month 1 (18-month programme)</t>
        </is>
      </c>
    </row>
    <row r="16" ht="18" customHeight="1">
      <c r="A16" s="3" t="inlineStr">
        <is>
          <t>Director's loan reimbursement (inverter £1,200 + batteries £1,800 + trailer £800)</t>
        </is>
      </c>
      <c r="B16" s="4" t="n">
        <v>3800</v>
      </c>
      <c r="C16" s="5" t="inlineStr">
        <is>
          <t>£ — Month 1</t>
        </is>
      </c>
    </row>
    <row r="17" ht="18" customHeight="1">
      <c r="A17" s="3" t="inlineStr">
        <is>
          <t>Company van HP deposit (10% of £8,000)</t>
        </is>
      </c>
      <c r="B17" s="4" t="n">
        <v>800</v>
      </c>
      <c r="C17" s="5" t="inlineStr">
        <is>
          <t>£ — Month 1. Matt's loan. Van is company asset.</t>
        </is>
      </c>
    </row>
    <row r="18" ht="18" customHeight="1">
      <c r="A18" s="3" t="inlineStr">
        <is>
          <t>Company van HP monthly payment (~7% APR, 4yr)</t>
        </is>
      </c>
      <c r="B18" s="4" t="n">
        <v>175</v>
      </c>
      <c r="C18" s="5" t="inlineStr">
        <is>
          <t>£/mo from Month 2. Matt's loan.</t>
        </is>
      </c>
    </row>
    <row r="19" ht="18" customHeight="1">
      <c r="A19" s="3" t="inlineStr">
        <is>
          <t>Working capital reserve (held in account)</t>
        </is>
      </c>
      <c r="B19" s="4" t="n">
        <v>8600</v>
      </c>
      <c r="C19" s="5" t="inlineStr">
        <is>
          <t>£ — implicit in closing balance (£9,400 less £800 van deposit)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8" t="inlineStr">
        <is>
          <t>DOVECOTE SYSTEMS LTD — 12-MONTH CASH FLOW FORECAST (Sep 2026 – Aug 2027)</t>
        </is>
      </c>
    </row>
    <row r="2" ht="18" customHeight="1">
      <c r="A2" s="9" t="inlineStr">
        <is>
          <t>Matt Brander — Start Up Loan Application | Company No. 17160178 | £25,000 at 7.5% over 5 years</t>
        </is>
      </c>
    </row>
    <row r="3" ht="8" customHeight="1"/>
    <row r="4" ht="20" customHeight="1">
      <c r="A4" s="10" t="inlineStr">
        <is>
          <t>Item</t>
        </is>
      </c>
      <c r="B4" s="11" t="inlineStr">
        <is>
          <t>Sep 2026</t>
        </is>
      </c>
      <c r="C4" s="11" t="inlineStr">
        <is>
          <t>Oct 2026</t>
        </is>
      </c>
      <c r="D4" s="11" t="inlineStr">
        <is>
          <t>Nov 2026</t>
        </is>
      </c>
      <c r="E4" s="11" t="inlineStr">
        <is>
          <t>Dec 2026</t>
        </is>
      </c>
      <c r="F4" s="11" t="inlineStr">
        <is>
          <t>Jan 2027</t>
        </is>
      </c>
      <c r="G4" s="11" t="inlineStr">
        <is>
          <t>Feb 2027</t>
        </is>
      </c>
      <c r="H4" s="11" t="inlineStr">
        <is>
          <t>Mar 2027</t>
        </is>
      </c>
      <c r="I4" s="11" t="inlineStr">
        <is>
          <t>Apr 2027</t>
        </is>
      </c>
      <c r="J4" s="11" t="inlineStr">
        <is>
          <t>May 2027</t>
        </is>
      </c>
      <c r="K4" s="11" t="inlineStr">
        <is>
          <t>Jun 2027</t>
        </is>
      </c>
      <c r="L4" s="11" t="inlineStr">
        <is>
          <t>Jul 2027</t>
        </is>
      </c>
      <c r="M4" s="11" t="inlineStr">
        <is>
          <t>Aug 2027</t>
        </is>
      </c>
    </row>
    <row r="5" ht="18" customHeight="1">
      <c r="A5" s="12" t="inlineStr">
        <is>
          <t>INCOME</t>
        </is>
      </c>
    </row>
    <row r="6" ht="16" customHeight="1">
      <c r="A6" s="13" t="inlineStr">
        <is>
          <t>Start Up Loan (drawdown)</t>
        </is>
      </c>
      <c r="B6" s="14" t="n">
        <v>25000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</row>
    <row r="7" ht="16" customHeight="1">
      <c r="A7" s="15" t="inlineStr">
        <is>
          <t>Node-3: Agile arbitrage revenue (from Month 3)</t>
        </is>
      </c>
      <c r="B7" s="16" t="n">
        <v>0</v>
      </c>
      <c r="C7" s="16" t="n">
        <v>0</v>
      </c>
      <c r="D7" s="16" t="n">
        <v>150</v>
      </c>
      <c r="E7" s="16" t="n">
        <v>150</v>
      </c>
      <c r="F7" s="16" t="n">
        <v>150</v>
      </c>
      <c r="G7" s="16" t="n">
        <v>150</v>
      </c>
      <c r="H7" s="16" t="n">
        <v>150</v>
      </c>
      <c r="I7" s="16" t="n">
        <v>150</v>
      </c>
      <c r="J7" s="16" t="n">
        <v>150</v>
      </c>
      <c r="K7" s="16" t="n">
        <v>150</v>
      </c>
      <c r="L7" s="16" t="n">
        <v>150</v>
      </c>
      <c r="M7" s="16" t="n">
        <v>150</v>
      </c>
    </row>
    <row r="8" ht="16" customHeight="1">
      <c r="A8" s="15" t="inlineStr">
        <is>
          <t>Node-3: Flexibility / BM revenue (from Month 6)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262</v>
      </c>
      <c r="H8" s="16" t="n">
        <v>262</v>
      </c>
      <c r="I8" s="16" t="n">
        <v>262</v>
      </c>
      <c r="J8" s="16" t="n">
        <v>262</v>
      </c>
      <c r="K8" s="16" t="n">
        <v>262</v>
      </c>
      <c r="L8" s="16" t="n">
        <v>262</v>
      </c>
      <c r="M8" s="16" t="n">
        <v>262</v>
      </c>
    </row>
    <row r="9" ht="16" customHeight="1">
      <c r="A9" s="15" t="inlineStr">
        <is>
          <t>Node-3: StorageSub / algorithm licence (£49/mo — ramp to 4 subscribers by Yr 2)</t>
        </is>
      </c>
      <c r="B9" s="16" t="n">
        <v>0</v>
      </c>
      <c r="C9" s="16" t="n">
        <v>0</v>
      </c>
      <c r="D9" s="16" t="n">
        <v>0</v>
      </c>
      <c r="E9" s="16" t="n">
        <v>49</v>
      </c>
      <c r="F9" s="16" t="n">
        <v>49</v>
      </c>
      <c r="G9" s="16" t="n">
        <v>49</v>
      </c>
      <c r="H9" s="16" t="n">
        <v>49</v>
      </c>
      <c r="I9" s="16" t="n">
        <v>49</v>
      </c>
      <c r="J9" s="16" t="n">
        <v>49</v>
      </c>
      <c r="K9" s="16" t="n">
        <v>49</v>
      </c>
      <c r="L9" s="16" t="n">
        <v>49</v>
      </c>
      <c r="M9" s="16" t="n">
        <v>49</v>
      </c>
    </row>
    <row r="10" ht="16" customHeight="1">
      <c r="A10" s="17" t="inlineStr">
        <is>
          <t>TOTAL INCOME</t>
        </is>
      </c>
      <c r="B10" s="18" t="n">
        <v>25000</v>
      </c>
      <c r="C10" s="18" t="n">
        <v>0</v>
      </c>
      <c r="D10" s="18" t="n">
        <v>150</v>
      </c>
      <c r="E10" s="18" t="n">
        <v>199</v>
      </c>
      <c r="F10" s="18" t="n">
        <v>199</v>
      </c>
      <c r="G10" s="18" t="n">
        <v>461</v>
      </c>
      <c r="H10" s="18" t="n">
        <v>461</v>
      </c>
      <c r="I10" s="18" t="n">
        <v>461</v>
      </c>
      <c r="J10" s="18" t="n">
        <v>461</v>
      </c>
      <c r="K10" s="18" t="n">
        <v>461</v>
      </c>
      <c r="L10" s="18" t="n">
        <v>461</v>
      </c>
      <c r="M10" s="18" t="n">
        <v>461</v>
      </c>
    </row>
    <row r="11" ht="18" customHeight="1">
      <c r="A11" s="19" t="inlineStr">
        <is>
          <t>EXPENDITURE</t>
        </is>
      </c>
    </row>
    <row r="12" ht="16" customHeight="1">
      <c r="A12" s="15" t="inlineStr">
        <is>
          <t>HV electrical commissioning — Node-3</t>
        </is>
      </c>
      <c r="B12" s="16" t="n">
        <v>2000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</row>
    <row r="13" ht="16" customHeight="1">
      <c r="A13" s="15" t="inlineStr">
        <is>
          <t>Public liability insurance</t>
        </is>
      </c>
      <c r="B13" s="16" t="n">
        <v>800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</row>
    <row r="14" ht="16" customHeight="1">
      <c r="A14" s="15" t="inlineStr">
        <is>
          <t>Private electrician training — JIB Gold Card programme</t>
        </is>
      </c>
      <c r="B14" s="16" t="n">
        <v>9000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</row>
    <row r="15" ht="16" customHeight="1">
      <c r="A15" s="15" t="inlineStr">
        <is>
          <t>Director's loan reimbursement (inverter + batteries + trailer)</t>
        </is>
      </c>
      <c r="B15" s="16" t="n">
        <v>3800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</row>
    <row r="16" ht="16" customHeight="1">
      <c r="A16" s="15" t="inlineStr">
        <is>
          <t>Company van — hire purchase deposit (10% of £8,000)</t>
        </is>
      </c>
      <c r="B16" s="16" t="n">
        <v>800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</row>
    <row r="17" ht="16" customHeight="1">
      <c r="A17" s="15" t="inlineStr">
        <is>
          <t>Company van — hire purchase payments (~7% APR, 4 years)</t>
        </is>
      </c>
      <c r="B17" s="16" t="n">
        <v>0</v>
      </c>
      <c r="C17" s="16" t="n">
        <v>175</v>
      </c>
      <c r="D17" s="16" t="n">
        <v>175</v>
      </c>
      <c r="E17" s="16" t="n">
        <v>175</v>
      </c>
      <c r="F17" s="16" t="n">
        <v>175</v>
      </c>
      <c r="G17" s="16" t="n">
        <v>175</v>
      </c>
      <c r="H17" s="16" t="n">
        <v>175</v>
      </c>
      <c r="I17" s="16" t="n">
        <v>175</v>
      </c>
      <c r="J17" s="16" t="n">
        <v>175</v>
      </c>
      <c r="K17" s="16" t="n">
        <v>175</v>
      </c>
      <c r="L17" s="16" t="n">
        <v>175</v>
      </c>
      <c r="M17" s="16" t="n">
        <v>175</v>
      </c>
    </row>
    <row r="18" ht="16" customHeight="1">
      <c r="A18" s="20" t="inlineStr">
        <is>
          <t>Loan repayment — £501/mo from Month 2</t>
        </is>
      </c>
      <c r="B18" s="21" t="n">
        <v>0</v>
      </c>
      <c r="C18" s="21" t="n">
        <v>501</v>
      </c>
      <c r="D18" s="21" t="n">
        <v>501</v>
      </c>
      <c r="E18" s="21" t="n">
        <v>501</v>
      </c>
      <c r="F18" s="21" t="n">
        <v>501</v>
      </c>
      <c r="G18" s="21" t="n">
        <v>501</v>
      </c>
      <c r="H18" s="21" t="n">
        <v>501</v>
      </c>
      <c r="I18" s="21" t="n">
        <v>501</v>
      </c>
      <c r="J18" s="21" t="n">
        <v>501</v>
      </c>
      <c r="K18" s="21" t="n">
        <v>501</v>
      </c>
      <c r="L18" s="21" t="n">
        <v>501</v>
      </c>
      <c r="M18" s="21" t="n">
        <v>501</v>
      </c>
    </row>
    <row r="19" ht="16" customHeight="1">
      <c r="A19" s="22" t="inlineStr">
        <is>
          <t>TOTAL EXPENDITURE</t>
        </is>
      </c>
      <c r="B19" s="23" t="n">
        <v>16400</v>
      </c>
      <c r="C19" s="23" t="n">
        <v>676</v>
      </c>
      <c r="D19" s="23" t="n">
        <v>676</v>
      </c>
      <c r="E19" s="23" t="n">
        <v>676</v>
      </c>
      <c r="F19" s="23" t="n">
        <v>676</v>
      </c>
      <c r="G19" s="23" t="n">
        <v>676</v>
      </c>
      <c r="H19" s="23" t="n">
        <v>676</v>
      </c>
      <c r="I19" s="23" t="n">
        <v>676</v>
      </c>
      <c r="J19" s="23" t="n">
        <v>676</v>
      </c>
      <c r="K19" s="23" t="n">
        <v>676</v>
      </c>
      <c r="L19" s="23" t="n">
        <v>676</v>
      </c>
      <c r="M19" s="23" t="n">
        <v>676</v>
      </c>
    </row>
    <row r="20" ht="18" customHeight="1">
      <c r="A20" s="24" t="inlineStr">
        <is>
          <t>CASH POSITION (Working capital buffer visible in closing balance)</t>
        </is>
      </c>
    </row>
    <row r="21" ht="16" customHeight="1">
      <c r="A21" s="15" t="inlineStr">
        <is>
          <t>Net cash flow (month)</t>
        </is>
      </c>
      <c r="B21" s="16" t="n">
        <v>8600</v>
      </c>
      <c r="C21" s="16" t="n">
        <v>-676</v>
      </c>
      <c r="D21" s="16" t="n">
        <v>-526</v>
      </c>
      <c r="E21" s="16" t="n">
        <v>-477</v>
      </c>
      <c r="F21" s="16" t="n">
        <v>-477</v>
      </c>
      <c r="G21" s="16" t="n">
        <v>-215</v>
      </c>
      <c r="H21" s="16" t="n">
        <v>-215</v>
      </c>
      <c r="I21" s="16" t="n">
        <v>-215</v>
      </c>
      <c r="J21" s="16" t="n">
        <v>-215</v>
      </c>
      <c r="K21" s="16" t="n">
        <v>-215</v>
      </c>
      <c r="L21" s="16" t="n">
        <v>-215</v>
      </c>
      <c r="M21" s="16" t="n">
        <v>-215</v>
      </c>
    </row>
    <row r="22" ht="16" customHeight="1">
      <c r="A22" s="15" t="inlineStr">
        <is>
          <t>Opening balance</t>
        </is>
      </c>
      <c r="B22" s="16" t="n">
        <v>0</v>
      </c>
      <c r="C22" s="16" t="n">
        <v>8600</v>
      </c>
      <c r="D22" s="16" t="n">
        <v>7924</v>
      </c>
      <c r="E22" s="16" t="n">
        <v>7398</v>
      </c>
      <c r="F22" s="16" t="n">
        <v>6921</v>
      </c>
      <c r="G22" s="16" t="n">
        <v>6444</v>
      </c>
      <c r="H22" s="16" t="n">
        <v>6229</v>
      </c>
      <c r="I22" s="16" t="n">
        <v>6014</v>
      </c>
      <c r="J22" s="16" t="n">
        <v>5799</v>
      </c>
      <c r="K22" s="16" t="n">
        <v>5584</v>
      </c>
      <c r="L22" s="16" t="n">
        <v>5369</v>
      </c>
      <c r="M22" s="16" t="n">
        <v>5154</v>
      </c>
    </row>
    <row r="23" ht="16" customHeight="1">
      <c r="A23" s="17" t="inlineStr">
        <is>
          <t>CLOSING BALANCE</t>
        </is>
      </c>
      <c r="B23" s="25" t="n">
        <v>8600</v>
      </c>
      <c r="C23" s="25" t="n">
        <v>7924</v>
      </c>
      <c r="D23" s="25" t="n">
        <v>7398</v>
      </c>
      <c r="E23" s="25" t="n">
        <v>6921</v>
      </c>
      <c r="F23" s="25" t="n">
        <v>6444</v>
      </c>
      <c r="G23" s="25" t="n">
        <v>6229</v>
      </c>
      <c r="H23" s="25" t="n">
        <v>6014</v>
      </c>
      <c r="I23" s="25" t="n">
        <v>5799</v>
      </c>
      <c r="J23" s="25" t="n">
        <v>5584</v>
      </c>
      <c r="K23" s="25" t="n">
        <v>5369</v>
      </c>
      <c r="L23" s="25" t="n">
        <v>5154</v>
      </c>
      <c r="M23" s="25" t="n">
        <v>4939</v>
      </c>
    </row>
    <row r="24" ht="8" customHeight="1"/>
    <row r="25" ht="72" customHeight="1">
      <c r="A25" s="26" t="inlineStr">
        <is>
          <t>Notes: Loan drawn in Month 1. Immediate deployment: HV commissioning £2,000, insurance £800, private electrician training (JIB Gold Card programme) £9,000, director's loan reimbursement (inverter £1,200 + batteries £1,800 + trailer £800) £3,800. Total deployed M1: £15,600. Remaining £9,400 held as working capital buffer. Node-3 Agile arbitrage (~£1,800/yr) from Month 3; StorageSub/algorithm licence: 1 subscriber per node at £49/mo — 1 sub from Month 4 (Node-3); Flexibility/BM revenue (£262/mo) from Month 6. StorageSub scales with fleet: 4 nodes by Year 2 = 4 subscribers = £196/mo. Full Year 2 run rate: £608/mo (£7,296/yr). Loan repayment £501/mo from Month 2. Personal redundancy settlement (~£22k net, Oct 2026) provides additional buffer not shown here.</t>
        </is>
      </c>
    </row>
  </sheetData>
  <mergeCells count="6">
    <mergeCell ref="A20:N20"/>
    <mergeCell ref="A2:N2"/>
    <mergeCell ref="A25:N25"/>
    <mergeCell ref="A11:N11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5" customWidth="1" min="3" max="3"/>
  </cols>
  <sheetData>
    <row r="1" ht="28" customHeight="1">
      <c r="A1" s="8" t="inlineStr">
        <is>
          <t>PERSONAL SURVIVAL BUDGET — Matt Brander</t>
        </is>
      </c>
    </row>
    <row r="2" ht="18" customHeight="1">
      <c r="A2" s="9" t="inlineStr">
        <is>
          <t>Complete the 'Monthly Amount (£)' column before submission. All figures are personal (not business).</t>
        </is>
      </c>
    </row>
    <row r="4" ht="18" customHeight="1">
      <c r="A4" s="10" t="inlineStr">
        <is>
          <t>Item</t>
        </is>
      </c>
      <c r="B4" s="11" t="inlineStr">
        <is>
          <t>Monthly Amount (£)</t>
        </is>
      </c>
      <c r="C4" s="11" t="inlineStr">
        <is>
          <t>Notes</t>
        </is>
      </c>
    </row>
    <row r="5" ht="18" customHeight="1">
      <c r="A5" s="27" t="inlineStr">
        <is>
          <t>INCOME</t>
        </is>
      </c>
      <c r="B5" s="28" t="n"/>
      <c r="C5" s="29" t="inlineStr"/>
    </row>
    <row r="6" ht="18" customHeight="1">
      <c r="A6" s="30" t="inlineStr">
        <is>
          <t>Employment income (until Oct 2026)</t>
        </is>
      </c>
      <c r="B6" s="16" t="n"/>
      <c r="C6" s="29" t="inlineStr">
        <is>
          <t>Ending 24 Oct — enter monthly net</t>
        </is>
      </c>
    </row>
    <row r="7" ht="18" customHeight="1">
      <c r="A7" s="30" t="inlineStr">
        <is>
          <t>Redundancy / termination payment</t>
        </is>
      </c>
      <c r="B7" s="16" t="n"/>
      <c r="C7" s="29" t="inlineStr">
        <is>
          <t>~£28k gross / ~£20-22k net — enter actual</t>
        </is>
      </c>
    </row>
    <row r="8" ht="18" customHeight="1">
      <c r="A8" s="30" t="inlineStr">
        <is>
          <t>Business income (Dovecote Systems)</t>
        </is>
      </c>
      <c r="B8" s="16" t="n"/>
      <c r="C8" s="29" t="inlineStr">
        <is>
          <t>From cashflow forecast — enter as received</t>
        </is>
      </c>
    </row>
    <row r="9" ht="18" customHeight="1">
      <c r="A9" s="30" t="inlineStr">
        <is>
          <t>Other income</t>
        </is>
      </c>
      <c r="B9" s="16" t="n"/>
      <c r="C9" s="29" t="inlineStr"/>
    </row>
    <row r="10" ht="18" customHeight="1">
      <c r="A10" s="31" t="inlineStr">
        <is>
          <t>TOTAL MONTHLY INCOME</t>
        </is>
      </c>
      <c r="B10" s="18">
        <f>SUM(B5:B9)</f>
        <v/>
      </c>
      <c r="C10" s="29" t="inlineStr"/>
    </row>
    <row r="11" ht="18" customHeight="1">
      <c r="A11" s="30" t="inlineStr"/>
      <c r="B11" s="16" t="n"/>
      <c r="C11" s="29" t="inlineStr"/>
    </row>
    <row r="12" ht="18" customHeight="1">
      <c r="A12" s="27" t="inlineStr">
        <is>
          <t>EXPENDITURE</t>
        </is>
      </c>
      <c r="B12" s="28" t="n"/>
      <c r="C12" s="29" t="inlineStr"/>
    </row>
    <row r="13" ht="18" customHeight="1">
      <c r="A13" s="30" t="inlineStr">
        <is>
          <t>Mortgage / rent</t>
        </is>
      </c>
      <c r="B13" s="16" t="n"/>
      <c r="C13" s="29" t="inlineStr"/>
    </row>
    <row r="14" ht="18" customHeight="1">
      <c r="A14" s="30" t="inlineStr">
        <is>
          <t>Council tax</t>
        </is>
      </c>
      <c r="B14" s="16" t="n"/>
      <c r="C14" s="29" t="inlineStr"/>
    </row>
    <row r="15" ht="18" customHeight="1">
      <c r="A15" s="30" t="inlineStr">
        <is>
          <t>Utilities (gas, electric, water)</t>
        </is>
      </c>
      <c r="B15" s="16" t="n"/>
      <c r="C15" s="29" t="inlineStr"/>
    </row>
    <row r="16" ht="18" customHeight="1">
      <c r="A16" s="30" t="inlineStr">
        <is>
          <t>Food &amp; groceries</t>
        </is>
      </c>
      <c r="B16" s="16" t="n"/>
      <c r="C16" s="29" t="inlineStr"/>
    </row>
    <row r="17" ht="18" customHeight="1">
      <c r="A17" s="30" t="inlineStr">
        <is>
          <t>Transport (fuel, insurance, MOT)</t>
        </is>
      </c>
      <c r="B17" s="16" t="n"/>
      <c r="C17" s="29" t="inlineStr"/>
    </row>
    <row r="18" ht="18" customHeight="1">
      <c r="A18" s="30" t="inlineStr">
        <is>
          <t>Mobile phone</t>
        </is>
      </c>
      <c r="B18" s="16" t="n"/>
      <c r="C18" s="29" t="inlineStr"/>
    </row>
    <row r="19" ht="18" customHeight="1">
      <c r="A19" s="30" t="inlineStr">
        <is>
          <t>Broadband / TV</t>
        </is>
      </c>
      <c r="B19" s="16" t="n"/>
      <c r="C19" s="29" t="inlineStr"/>
    </row>
    <row r="20" ht="18" customHeight="1">
      <c r="A20" s="30" t="inlineStr">
        <is>
          <t>Insurance (personal — home, life, etc.)</t>
        </is>
      </c>
      <c r="B20" s="16" t="n"/>
      <c r="C20" s="29" t="inlineStr"/>
    </row>
    <row r="21" ht="18" customHeight="1">
      <c r="A21" s="30" t="inlineStr">
        <is>
          <t>Clothing</t>
        </is>
      </c>
      <c r="B21" s="16" t="n"/>
      <c r="C21" s="29" t="inlineStr"/>
    </row>
    <row r="22" ht="18" customHeight="1">
      <c r="A22" s="30" t="inlineStr">
        <is>
          <t>Subscriptions &amp; entertainment</t>
        </is>
      </c>
      <c r="B22" s="16" t="n"/>
      <c r="C22" s="29" t="inlineStr"/>
    </row>
    <row r="23" ht="18" customHeight="1">
      <c r="A23" s="30" t="inlineStr">
        <is>
          <t>Other regular expenses</t>
        </is>
      </c>
      <c r="B23" s="16" t="n"/>
      <c r="C23" s="29" t="inlineStr"/>
    </row>
    <row r="24" ht="18" customHeight="1">
      <c r="A24" s="30" t="inlineStr">
        <is>
          <t>Loan repayment (Start Up Loan)</t>
        </is>
      </c>
      <c r="B24" s="16" t="n">
        <v>501</v>
      </c>
      <c r="C24" s="29" t="inlineStr">
        <is>
          <t>£501/mo fixed</t>
        </is>
      </c>
    </row>
    <row r="25" ht="18" customHeight="1">
      <c r="A25" s="32" t="inlineStr">
        <is>
          <t>TOTAL MONTHLY EXPENDITURE</t>
        </is>
      </c>
      <c r="B25" s="23">
        <f>SUM(B12:B27)</f>
        <v/>
      </c>
      <c r="C25" s="29" t="inlineStr"/>
    </row>
    <row r="26" ht="18" customHeight="1">
      <c r="A26" s="30" t="inlineStr"/>
      <c r="B26" s="16" t="n"/>
      <c r="C26" s="29" t="inlineStr"/>
    </row>
    <row r="27" ht="18" customHeight="1">
      <c r="A27" s="33" t="inlineStr">
        <is>
          <t>MONTHLY SURPLUS / DEFICIT</t>
        </is>
      </c>
      <c r="B27" s="21">
        <f>B10-B28</f>
        <v/>
      </c>
      <c r="C27" s="29" t="inlineStr">
        <is>
          <t>Must be positive or explain how covered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2026-08-29T09:17:16Z</dcterms:created>
  <dcterms:modified xmlns:dcterms="http://purl.org/dc/terms/" xmlns:xsi="http://www.w3.org/2001/XMLSchema-instance" xsi:type="dcterms:W3CDTF">2026-08-29T09:17:16Z</dcterms:modified>
</cp:coreProperties>
</file>